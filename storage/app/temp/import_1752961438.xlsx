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1048499" i="1"/>
  <c r="I1048499"/>
  <c r="K189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F161"/>
  <c r="H161" s="1"/>
  <c r="H160"/>
  <c r="F160"/>
  <c r="F159"/>
  <c r="H159" s="1"/>
  <c r="H158"/>
  <c r="F158"/>
  <c r="F157"/>
  <c r="H157" s="1"/>
  <c r="H156"/>
  <c r="F156"/>
  <c r="F155"/>
  <c r="H155" s="1"/>
  <c r="H154"/>
  <c r="F154"/>
  <c r="F153"/>
  <c r="H153" s="1"/>
  <c r="H152"/>
  <c r="F152"/>
  <c r="F151"/>
  <c r="H151" s="1"/>
  <c r="H150"/>
  <c r="F150"/>
  <c r="F149"/>
  <c r="H149" s="1"/>
  <c r="H148"/>
  <c r="F148"/>
  <c r="F147"/>
  <c r="H147" s="1"/>
  <c r="H146"/>
  <c r="F146"/>
  <c r="F145"/>
  <c r="H145" s="1"/>
  <c r="H144"/>
  <c r="F144"/>
  <c r="F143"/>
  <c r="H143" s="1"/>
  <c r="H142"/>
  <c r="F142"/>
  <c r="F141"/>
  <c r="H141" s="1"/>
  <c r="H140"/>
  <c r="F140"/>
  <c r="F139"/>
  <c r="H139" s="1"/>
  <c r="H138"/>
  <c r="F138"/>
  <c r="F137"/>
  <c r="H137" s="1"/>
  <c r="H136"/>
  <c r="F136"/>
  <c r="F135"/>
  <c r="H135" s="1"/>
  <c r="H134"/>
  <c r="F134"/>
  <c r="F133"/>
  <c r="H133" s="1"/>
  <c r="H132"/>
  <c r="F132"/>
  <c r="F131"/>
  <c r="H131" s="1"/>
  <c r="H130"/>
  <c r="F130"/>
  <c r="F129"/>
  <c r="H129" s="1"/>
  <c r="H128"/>
  <c r="F128"/>
  <c r="F127"/>
  <c r="H127" s="1"/>
  <c r="H126"/>
  <c r="F126"/>
  <c r="F125"/>
  <c r="H125" s="1"/>
  <c r="H124"/>
  <c r="F124"/>
  <c r="F123"/>
  <c r="H123" s="1"/>
  <c r="H122"/>
  <c r="F122"/>
  <c r="F121"/>
  <c r="H121" s="1"/>
  <c r="H120"/>
  <c r="F120"/>
  <c r="F119"/>
  <c r="H119" s="1"/>
  <c r="H118"/>
  <c r="F118"/>
  <c r="F117"/>
  <c r="H117" s="1"/>
  <c r="H116"/>
  <c r="F116"/>
  <c r="F115"/>
  <c r="H115" s="1"/>
  <c r="H114"/>
  <c r="F114"/>
  <c r="F113"/>
  <c r="H113" s="1"/>
  <c r="H112"/>
  <c r="F112"/>
  <c r="F111"/>
  <c r="H111" s="1"/>
  <c r="H110"/>
  <c r="F110"/>
  <c r="F109"/>
  <c r="H109" s="1"/>
  <c r="H108"/>
  <c r="F108"/>
  <c r="F107"/>
  <c r="H107" s="1"/>
  <c r="H106"/>
  <c r="F106"/>
  <c r="F105"/>
  <c r="H105" s="1"/>
  <c r="H104"/>
  <c r="F104"/>
  <c r="F103"/>
  <c r="H103" s="1"/>
  <c r="H102"/>
  <c r="F102"/>
  <c r="F101"/>
  <c r="H101" s="1"/>
  <c r="H100"/>
  <c r="F100"/>
  <c r="F99"/>
  <c r="H99" s="1"/>
  <c r="H98"/>
  <c r="F98"/>
  <c r="F97"/>
  <c r="H97" s="1"/>
  <c r="H96"/>
  <c r="F96"/>
  <c r="F95"/>
  <c r="H95" s="1"/>
  <c r="H94"/>
  <c r="F94"/>
  <c r="F93"/>
  <c r="H93" s="1"/>
  <c r="H92"/>
  <c r="F92"/>
  <c r="F91"/>
  <c r="H91" s="1"/>
  <c r="H90"/>
  <c r="F90"/>
  <c r="F89"/>
  <c r="H89" s="1"/>
  <c r="H88"/>
  <c r="F88"/>
  <c r="F87"/>
  <c r="H87" s="1"/>
  <c r="H86"/>
  <c r="F86"/>
  <c r="F85"/>
  <c r="H85" s="1"/>
  <c r="H84"/>
  <c r="F84"/>
  <c r="F83"/>
  <c r="H83" s="1"/>
  <c r="H82"/>
  <c r="F82"/>
  <c r="F81"/>
  <c r="H81" s="1"/>
  <c r="H80"/>
  <c r="F80"/>
  <c r="F79"/>
  <c r="H79" s="1"/>
  <c r="H78"/>
  <c r="F78"/>
  <c r="F77"/>
  <c r="H77" s="1"/>
  <c r="H76"/>
  <c r="F76"/>
  <c r="F75"/>
  <c r="H75" s="1"/>
  <c r="H74"/>
  <c r="F74"/>
  <c r="F73"/>
  <c r="H73" s="1"/>
  <c r="H72"/>
  <c r="F72"/>
  <c r="F71"/>
  <c r="H71" s="1"/>
  <c r="H70"/>
  <c r="F70"/>
  <c r="F69"/>
  <c r="H69" s="1"/>
  <c r="H68"/>
  <c r="F68"/>
  <c r="F67"/>
  <c r="H67" s="1"/>
  <c r="H66"/>
  <c r="F66"/>
  <c r="F65"/>
  <c r="H65" s="1"/>
  <c r="H64"/>
  <c r="F64"/>
  <c r="F63"/>
  <c r="H63" s="1"/>
  <c r="H62"/>
  <c r="F62"/>
  <c r="F61"/>
  <c r="H61" s="1"/>
  <c r="H60"/>
  <c r="F60"/>
  <c r="F59"/>
  <c r="H59" s="1"/>
  <c r="H58"/>
  <c r="F58"/>
  <c r="F57"/>
  <c r="H57" s="1"/>
  <c r="H56"/>
  <c r="F56"/>
  <c r="F55"/>
  <c r="H55" s="1"/>
  <c r="H54"/>
  <c r="F54"/>
  <c r="F53"/>
  <c r="H53" s="1"/>
  <c r="H52"/>
  <c r="F52"/>
  <c r="F51"/>
  <c r="H51" s="1"/>
  <c r="H50"/>
  <c r="F50"/>
  <c r="F49"/>
  <c r="H49" s="1"/>
  <c r="H48"/>
  <c r="F48"/>
  <c r="F47"/>
  <c r="H47" s="1"/>
  <c r="H46"/>
  <c r="F46"/>
  <c r="F45"/>
  <c r="H45" s="1"/>
  <c r="H44"/>
  <c r="F44"/>
  <c r="F43"/>
  <c r="H43" s="1"/>
  <c r="H42"/>
  <c r="F42"/>
  <c r="F41"/>
  <c r="H41" s="1"/>
  <c r="H40"/>
  <c r="F40"/>
  <c r="F39"/>
  <c r="H39" s="1"/>
  <c r="H38"/>
  <c r="F38"/>
  <c r="F37"/>
  <c r="H37" s="1"/>
  <c r="H36"/>
  <c r="F36"/>
  <c r="F35"/>
  <c r="H35" s="1"/>
  <c r="H34"/>
  <c r="F34"/>
  <c r="F33"/>
  <c r="H33" s="1"/>
  <c r="H32"/>
  <c r="F32"/>
  <c r="F31"/>
  <c r="H31" s="1"/>
  <c r="H30"/>
  <c r="F30"/>
  <c r="F29"/>
  <c r="H29" s="1"/>
  <c r="H28"/>
  <c r="F28"/>
  <c r="F27"/>
  <c r="H27" s="1"/>
  <c r="H26"/>
  <c r="F26"/>
  <c r="F25"/>
  <c r="H25" s="1"/>
  <c r="H24"/>
  <c r="F24"/>
  <c r="F23"/>
  <c r="H23" s="1"/>
  <c r="F22"/>
  <c r="H22" s="1"/>
  <c r="F21"/>
  <c r="H21" s="1"/>
  <c r="H20"/>
  <c r="F20"/>
  <c r="F19"/>
  <c r="H19" s="1"/>
  <c r="H18"/>
  <c r="F18"/>
  <c r="F17"/>
  <c r="H17" s="1"/>
  <c r="F16"/>
  <c r="H16" s="1"/>
  <c r="F15"/>
  <c r="H15" s="1"/>
  <c r="F14"/>
  <c r="H14" s="1"/>
  <c r="F13"/>
  <c r="H13" s="1"/>
  <c r="F12"/>
  <c r="H12" s="1"/>
  <c r="F11"/>
  <c r="H11" s="1"/>
  <c r="F10"/>
  <c r="H10" s="1"/>
  <c r="F9"/>
  <c r="H9" s="1"/>
  <c r="H8"/>
  <c r="F8"/>
  <c r="F7"/>
  <c r="H7" s="1"/>
  <c r="F6"/>
  <c r="F5"/>
  <c r="H5" s="1"/>
  <c r="F4"/>
  <c r="H4" s="1"/>
  <c r="F3"/>
  <c r="H3" s="1"/>
  <c r="H1048499" l="1"/>
  <c r="K1048499" s="1"/>
  <c r="K3"/>
  <c r="K4" s="1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</calcChain>
</file>

<file path=xl/sharedStrings.xml><?xml version="1.0" encoding="utf-8"?>
<sst xmlns="http://schemas.openxmlformats.org/spreadsheetml/2006/main" count="33" uniqueCount="16">
  <si>
    <t xml:space="preserve">       </t>
  </si>
  <si>
    <t>MEMO NO</t>
  </si>
  <si>
    <t>DATE</t>
  </si>
  <si>
    <t>PARTICULARS</t>
  </si>
  <si>
    <t>BAG</t>
  </si>
  <si>
    <t>KG</t>
  </si>
  <si>
    <t xml:space="preserve">QUANTITY </t>
  </si>
  <si>
    <t>RATE</t>
  </si>
  <si>
    <t>DEBIT AMOUNT</t>
  </si>
  <si>
    <t>CREDIT</t>
  </si>
  <si>
    <t>DISCOUNT/REFUND</t>
  </si>
  <si>
    <t>OUTSTANDING</t>
  </si>
  <si>
    <t>UTTAM SHEET</t>
  </si>
  <si>
    <t>SARU MURI</t>
  </si>
  <si>
    <t>ONLY PAID</t>
  </si>
  <si>
    <t>KAKRI MURI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</si>
</sst>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8499"/>
  <sheetViews>
    <sheetView tabSelected="1" topLeftCell="A13" workbookViewId="0">
      <selection activeCell="A22" sqref="A22"/>
    </sheetView>
  </sheetViews>
  <sheetFormatPr defaultColWidth="18.28515625" defaultRowHeight="35.25" customHeight="1"/>
  <cols>
    <col min="1" max="1" width="10.7109375" style="12" customWidth="1"/>
    <col min="2" max="2" width="11.85546875" style="12" customWidth="1"/>
    <col min="3" max="3" width="27.140625" style="12" customWidth="1"/>
    <col min="4" max="4" width="9.28515625" style="12" customWidth="1"/>
    <col min="5" max="5" width="15.85546875" style="12" customWidth="1"/>
    <col min="6" max="6" width="10" style="12" customWidth="1"/>
    <col min="7" max="7" width="8.85546875" style="12" customWidth="1"/>
    <col min="8" max="8" width="14.5703125" style="12" customWidth="1"/>
    <col min="9" max="9" width="9.5703125" style="12" customWidth="1"/>
    <col min="10" max="10" width="19.140625" style="12" customWidth="1"/>
    <col min="11" max="11" width="33.5703125" style="14" customWidth="1"/>
    <col min="12" max="16384" width="18.28515625" style="12"/>
  </cols>
  <sheetData>
    <row r="1" spans="1:12" s="1" customFormat="1" ht="35.25" customHeight="1" thickBot="1">
      <c r="D1" s="2" t="s">
        <v>0</v>
      </c>
      <c r="F1" s="3" t="s">
        <v>12</v>
      </c>
      <c r="K1" s="4"/>
    </row>
    <row r="2" spans="1:12" s="9" customFormat="1" ht="35.25" customHeight="1" thickBo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8"/>
    </row>
    <row r="3" spans="1:12" ht="35.25" customHeight="1">
      <c r="A3" s="16">
        <v>555</v>
      </c>
      <c r="B3" s="10">
        <v>45760</v>
      </c>
      <c r="C3" s="9" t="s">
        <v>13</v>
      </c>
      <c r="D3" s="9">
        <v>30</v>
      </c>
      <c r="E3" s="9">
        <v>13</v>
      </c>
      <c r="F3" s="9">
        <f>D3*E3</f>
        <v>390</v>
      </c>
      <c r="G3" s="9">
        <v>45.5</v>
      </c>
      <c r="H3" s="9">
        <f>F3*G3</f>
        <v>17745</v>
      </c>
      <c r="I3" s="9">
        <v>8745</v>
      </c>
      <c r="J3" s="9"/>
      <c r="K3" s="11">
        <f>H3-I3-J3</f>
        <v>9000</v>
      </c>
    </row>
    <row r="4" spans="1:12" ht="35.25" customHeight="1">
      <c r="B4" s="13">
        <v>45764</v>
      </c>
      <c r="C4" s="12" t="s">
        <v>14</v>
      </c>
      <c r="F4" s="12">
        <f t="shared" ref="F4:F67" si="0">D4*E4</f>
        <v>0</v>
      </c>
      <c r="H4" s="12">
        <f t="shared" ref="H4:H67" si="1">F4*G4</f>
        <v>0</v>
      </c>
      <c r="I4" s="12">
        <v>9000</v>
      </c>
      <c r="K4" s="14">
        <f>K3+H4-I4-J4</f>
        <v>0</v>
      </c>
    </row>
    <row r="5" spans="1:12" ht="35.25" customHeight="1">
      <c r="A5" s="17">
        <v>614</v>
      </c>
      <c r="B5" s="13">
        <v>45766</v>
      </c>
      <c r="C5" s="12" t="s">
        <v>13</v>
      </c>
      <c r="D5" s="12">
        <v>30</v>
      </c>
      <c r="E5" s="12">
        <v>13</v>
      </c>
      <c r="F5" s="12">
        <f t="shared" si="0"/>
        <v>390</v>
      </c>
      <c r="G5" s="12">
        <v>45.5</v>
      </c>
      <c r="H5" s="12">
        <f t="shared" si="1"/>
        <v>17745</v>
      </c>
      <c r="I5" s="12">
        <v>16745</v>
      </c>
      <c r="K5" s="14">
        <f t="shared" ref="K5:K68" si="2">K4+H5-I5-J5</f>
        <v>1000</v>
      </c>
    </row>
    <row r="6" spans="1:12" ht="35.25" customHeight="1">
      <c r="B6" s="13">
        <v>45769</v>
      </c>
      <c r="C6" s="12" t="s">
        <v>14</v>
      </c>
      <c r="F6" s="12">
        <f t="shared" si="0"/>
        <v>0</v>
      </c>
      <c r="H6" s="12">
        <v>0</v>
      </c>
      <c r="I6" s="12">
        <v>1000</v>
      </c>
      <c r="J6" s="15"/>
      <c r="K6" s="14">
        <f t="shared" si="2"/>
        <v>0</v>
      </c>
    </row>
    <row r="7" spans="1:12" ht="35.25" customHeight="1">
      <c r="A7" s="18">
        <v>680</v>
      </c>
      <c r="B7" s="13">
        <v>45771</v>
      </c>
      <c r="C7" s="12" t="s">
        <v>13</v>
      </c>
      <c r="D7" s="12">
        <v>30</v>
      </c>
      <c r="E7" s="12">
        <v>13</v>
      </c>
      <c r="F7" s="12">
        <f t="shared" si="0"/>
        <v>390</v>
      </c>
      <c r="G7" s="12">
        <v>45.5</v>
      </c>
      <c r="H7" s="12">
        <f t="shared" si="1"/>
        <v>17745</v>
      </c>
      <c r="I7" s="12">
        <v>8745</v>
      </c>
      <c r="K7" s="14">
        <f t="shared" si="2"/>
        <v>9000</v>
      </c>
    </row>
    <row r="8" spans="1:12" ht="35.25" customHeight="1">
      <c r="B8" s="13">
        <v>45774</v>
      </c>
      <c r="C8" s="12" t="s">
        <v>14</v>
      </c>
      <c r="F8" s="12">
        <f t="shared" si="0"/>
        <v>0</v>
      </c>
      <c r="H8" s="12">
        <f t="shared" si="1"/>
        <v>0</v>
      </c>
      <c r="I8" s="12">
        <v>9000</v>
      </c>
      <c r="K8" s="14">
        <f t="shared" si="2"/>
        <v>0</v>
      </c>
    </row>
    <row r="9" spans="1:12" ht="35.25" customHeight="1">
      <c r="A9" s="17">
        <v>729</v>
      </c>
      <c r="B9" s="13">
        <v>45775</v>
      </c>
      <c r="C9" s="12" t="s">
        <v>13</v>
      </c>
      <c r="D9" s="12">
        <v>29</v>
      </c>
      <c r="E9" s="12">
        <v>13</v>
      </c>
      <c r="F9" s="12">
        <f t="shared" si="0"/>
        <v>377</v>
      </c>
      <c r="G9" s="12">
        <v>45.5</v>
      </c>
      <c r="H9" s="12">
        <f t="shared" si="1"/>
        <v>17153.5</v>
      </c>
      <c r="K9" s="14">
        <f t="shared" si="2"/>
        <v>17153.5</v>
      </c>
    </row>
    <row r="10" spans="1:12" ht="35.25" customHeight="1">
      <c r="C10" s="12" t="s">
        <v>15</v>
      </c>
      <c r="D10" s="12">
        <v>1</v>
      </c>
      <c r="E10" s="12">
        <v>13</v>
      </c>
      <c r="F10" s="12">
        <f t="shared" si="0"/>
        <v>13</v>
      </c>
      <c r="G10" s="12">
        <v>53</v>
      </c>
      <c r="H10" s="12">
        <f t="shared" si="1"/>
        <v>689</v>
      </c>
      <c r="I10" s="12">
        <v>9843</v>
      </c>
      <c r="K10" s="14">
        <f t="shared" si="2"/>
        <v>7999.5</v>
      </c>
    </row>
    <row r="11" spans="1:12" ht="35.25" customHeight="1">
      <c r="B11" s="13">
        <v>45779</v>
      </c>
      <c r="C11" s="12" t="s">
        <v>14</v>
      </c>
      <c r="F11" s="12">
        <f t="shared" si="0"/>
        <v>0</v>
      </c>
      <c r="H11" s="12">
        <f t="shared" si="1"/>
        <v>0</v>
      </c>
      <c r="I11" s="12">
        <v>8000</v>
      </c>
      <c r="K11" s="14">
        <f t="shared" si="2"/>
        <v>-0.5</v>
      </c>
    </row>
    <row r="12" spans="1:12" ht="35.25" customHeight="1">
      <c r="A12" s="18">
        <v>784</v>
      </c>
      <c r="B12" s="13">
        <v>45780</v>
      </c>
      <c r="C12" s="12" t="s">
        <v>13</v>
      </c>
      <c r="D12" s="12">
        <v>30</v>
      </c>
      <c r="E12" s="12">
        <v>13</v>
      </c>
      <c r="F12" s="12">
        <f t="shared" si="0"/>
        <v>390</v>
      </c>
      <c r="G12" s="12">
        <v>45.5</v>
      </c>
      <c r="H12" s="12">
        <f t="shared" si="1"/>
        <v>17745</v>
      </c>
      <c r="I12" s="12">
        <v>14745</v>
      </c>
      <c r="K12" s="14">
        <f t="shared" si="2"/>
        <v>2999.5</v>
      </c>
    </row>
    <row r="13" spans="1:12" ht="35.25" customHeight="1">
      <c r="A13" s="17">
        <v>818</v>
      </c>
      <c r="B13" s="13">
        <v>45783</v>
      </c>
      <c r="C13" s="12" t="s">
        <v>13</v>
      </c>
      <c r="D13" s="12">
        <v>29</v>
      </c>
      <c r="E13" s="12">
        <v>13</v>
      </c>
      <c r="F13" s="12">
        <f t="shared" si="0"/>
        <v>377</v>
      </c>
      <c r="G13" s="12">
        <v>45.5</v>
      </c>
      <c r="H13" s="12">
        <f t="shared" si="1"/>
        <v>17153.5</v>
      </c>
      <c r="I13" s="12">
        <v>3000</v>
      </c>
      <c r="K13" s="14">
        <f t="shared" si="2"/>
        <v>17153</v>
      </c>
    </row>
    <row r="14" spans="1:12" ht="35.25" customHeight="1">
      <c r="C14" s="12" t="s">
        <v>15</v>
      </c>
      <c r="D14" s="12">
        <v>1</v>
      </c>
      <c r="E14" s="12">
        <v>13</v>
      </c>
      <c r="F14" s="12">
        <f t="shared" si="0"/>
        <v>13</v>
      </c>
      <c r="G14" s="12">
        <v>53</v>
      </c>
      <c r="H14" s="12">
        <f t="shared" si="1"/>
        <v>689</v>
      </c>
      <c r="I14" s="12">
        <v>9843</v>
      </c>
      <c r="K14" s="14">
        <f t="shared" si="2"/>
        <v>7999</v>
      </c>
    </row>
    <row r="15" spans="1:12" ht="35.25" customHeight="1">
      <c r="B15" s="13">
        <v>45791</v>
      </c>
      <c r="C15" s="12" t="s">
        <v>14</v>
      </c>
      <c r="F15" s="12">
        <f t="shared" si="0"/>
        <v>0</v>
      </c>
      <c r="H15" s="12">
        <f t="shared" si="1"/>
        <v>0</v>
      </c>
      <c r="I15" s="12">
        <v>8000</v>
      </c>
      <c r="K15" s="14">
        <f t="shared" si="2"/>
        <v>-1</v>
      </c>
    </row>
    <row r="16" spans="1:12" ht="35.25" customHeight="1">
      <c r="A16" s="18">
        <v>1039</v>
      </c>
      <c r="B16" s="13">
        <v>45801</v>
      </c>
      <c r="C16" s="12" t="s">
        <v>13</v>
      </c>
      <c r="D16" s="12">
        <v>28</v>
      </c>
      <c r="E16" s="12">
        <v>13</v>
      </c>
      <c r="F16" s="12">
        <f t="shared" si="0"/>
        <v>364</v>
      </c>
      <c r="G16" s="12">
        <v>45.5</v>
      </c>
      <c r="H16" s="12">
        <f t="shared" si="1"/>
        <v>16562</v>
      </c>
      <c r="K16" s="14">
        <f t="shared" si="2"/>
        <v>16561</v>
      </c>
    </row>
    <row r="17" spans="1:11" ht="35.25" customHeight="1">
      <c r="C17" s="12" t="s">
        <v>15</v>
      </c>
      <c r="D17" s="12">
        <v>2</v>
      </c>
      <c r="E17" s="12">
        <v>13</v>
      </c>
      <c r="F17" s="12">
        <f t="shared" si="0"/>
        <v>26</v>
      </c>
      <c r="G17" s="12">
        <v>53</v>
      </c>
      <c r="H17" s="12">
        <f t="shared" si="1"/>
        <v>1378</v>
      </c>
      <c r="I17" s="12">
        <v>10000</v>
      </c>
      <c r="K17" s="14">
        <f t="shared" si="2"/>
        <v>7939</v>
      </c>
    </row>
    <row r="18" spans="1:11" ht="35.25" customHeight="1">
      <c r="B18" s="13">
        <v>45813</v>
      </c>
      <c r="C18" s="12" t="s">
        <v>14</v>
      </c>
      <c r="F18" s="12">
        <f t="shared" si="0"/>
        <v>0</v>
      </c>
      <c r="H18" s="12">
        <f t="shared" si="1"/>
        <v>0</v>
      </c>
      <c r="I18" s="12">
        <v>7000</v>
      </c>
      <c r="K18" s="14">
        <f t="shared" si="2"/>
        <v>939</v>
      </c>
    </row>
    <row r="19" spans="1:11" ht="35.25" customHeight="1">
      <c r="A19" s="17">
        <v>1210</v>
      </c>
      <c r="B19" s="13">
        <v>45816</v>
      </c>
      <c r="C19" s="12" t="s">
        <v>13</v>
      </c>
      <c r="D19" s="12">
        <v>30</v>
      </c>
      <c r="E19" s="12">
        <v>13</v>
      </c>
      <c r="F19" s="12">
        <f t="shared" si="0"/>
        <v>390</v>
      </c>
      <c r="G19" s="12">
        <v>45.5</v>
      </c>
      <c r="H19" s="12">
        <f t="shared" si="1"/>
        <v>17745</v>
      </c>
      <c r="I19" s="12">
        <v>6000</v>
      </c>
      <c r="K19" s="14">
        <f t="shared" si="2"/>
        <v>12684</v>
      </c>
    </row>
    <row r="20" spans="1:11" ht="35.25" customHeight="1">
      <c r="B20" s="13">
        <v>45831</v>
      </c>
      <c r="C20" s="12" t="s">
        <v>14</v>
      </c>
      <c r="F20" s="12">
        <f t="shared" si="0"/>
        <v>0</v>
      </c>
      <c r="H20" s="12">
        <f t="shared" si="1"/>
        <v>0</v>
      </c>
      <c r="I20" s="12">
        <v>11745</v>
      </c>
      <c r="K20" s="14">
        <f t="shared" si="2"/>
        <v>939</v>
      </c>
    </row>
    <row r="21" spans="1:11" ht="35.25" customHeight="1">
      <c r="B21" s="13">
        <v>45815</v>
      </c>
      <c r="C21" s="12" t="s">
        <v>14</v>
      </c>
      <c r="F21" s="12">
        <f t="shared" si="0"/>
        <v>0</v>
      </c>
      <c r="H21" s="12">
        <f t="shared" si="1"/>
        <v>0</v>
      </c>
      <c r="I21" s="12">
        <v>940</v>
      </c>
      <c r="K21" s="14">
        <f t="shared" si="2"/>
        <v>-1</v>
      </c>
    </row>
    <row r="22" spans="1:11" ht="35.25" customHeight="1">
      <c r="A22" s="18">
        <v>1402</v>
      </c>
      <c r="B22" s="13">
        <v>45835</v>
      </c>
      <c r="C22" s="12" t="s">
        <v>13</v>
      </c>
      <c r="D22" s="12">
        <v>30</v>
      </c>
      <c r="E22" s="12">
        <v>13</v>
      </c>
      <c r="F22" s="12">
        <f t="shared" si="0"/>
        <v>390</v>
      </c>
      <c r="G22" s="12">
        <v>45</v>
      </c>
      <c r="H22" s="12">
        <f t="shared" si="1"/>
        <v>17550</v>
      </c>
      <c r="I22" s="12">
        <v>4000</v>
      </c>
      <c r="K22" s="14">
        <f t="shared" si="2"/>
        <v>13549</v>
      </c>
    </row>
    <row r="23" spans="1:11" ht="35.25" customHeight="1">
      <c r="F23" s="12">
        <f t="shared" si="0"/>
        <v>0</v>
      </c>
      <c r="H23" s="12">
        <f t="shared" si="1"/>
        <v>0</v>
      </c>
      <c r="K23" s="14">
        <f t="shared" si="2"/>
        <v>13549</v>
      </c>
    </row>
    <row r="24" spans="1:11" ht="35.25" customHeight="1">
      <c r="F24" s="12">
        <f t="shared" si="0"/>
        <v>0</v>
      </c>
      <c r="H24" s="12">
        <f t="shared" si="1"/>
        <v>0</v>
      </c>
      <c r="K24" s="14">
        <f t="shared" si="2"/>
        <v>13549</v>
      </c>
    </row>
    <row r="25" spans="1:11" ht="35.25" customHeight="1">
      <c r="F25" s="12">
        <f t="shared" si="0"/>
        <v>0</v>
      </c>
      <c r="H25" s="12">
        <f t="shared" si="1"/>
        <v>0</v>
      </c>
      <c r="K25" s="14">
        <f t="shared" si="2"/>
        <v>13549</v>
      </c>
    </row>
    <row r="26" spans="1:11" ht="35.25" customHeight="1">
      <c r="F26" s="12">
        <f t="shared" si="0"/>
        <v>0</v>
      </c>
      <c r="H26" s="12">
        <f t="shared" si="1"/>
        <v>0</v>
      </c>
      <c r="K26" s="14">
        <f t="shared" si="2"/>
        <v>13549</v>
      </c>
    </row>
    <row r="27" spans="1:11" ht="35.25" customHeight="1">
      <c r="F27" s="12">
        <f t="shared" si="0"/>
        <v>0</v>
      </c>
      <c r="H27" s="12">
        <f t="shared" si="1"/>
        <v>0</v>
      </c>
      <c r="K27" s="14">
        <f t="shared" si="2"/>
        <v>13549</v>
      </c>
    </row>
    <row r="28" spans="1:11" ht="35.25" customHeight="1">
      <c r="F28" s="12">
        <f t="shared" si="0"/>
        <v>0</v>
      </c>
      <c r="H28" s="12">
        <f t="shared" si="1"/>
        <v>0</v>
      </c>
      <c r="K28" s="14">
        <f t="shared" si="2"/>
        <v>13549</v>
      </c>
    </row>
    <row r="29" spans="1:11" ht="35.25" customHeight="1">
      <c r="F29" s="12">
        <f t="shared" si="0"/>
        <v>0</v>
      </c>
      <c r="H29" s="12">
        <f t="shared" si="1"/>
        <v>0</v>
      </c>
      <c r="K29" s="14">
        <f t="shared" si="2"/>
        <v>13549</v>
      </c>
    </row>
    <row r="30" spans="1:11" ht="35.25" customHeight="1">
      <c r="F30" s="12">
        <f t="shared" si="0"/>
        <v>0</v>
      </c>
      <c r="H30" s="12">
        <f t="shared" si="1"/>
        <v>0</v>
      </c>
      <c r="K30" s="14">
        <f t="shared" si="2"/>
        <v>13549</v>
      </c>
    </row>
    <row r="31" spans="1:11" ht="35.25" customHeight="1">
      <c r="F31" s="12">
        <f t="shared" si="0"/>
        <v>0</v>
      </c>
      <c r="H31" s="12">
        <f t="shared" si="1"/>
        <v>0</v>
      </c>
      <c r="K31" s="14">
        <f t="shared" si="2"/>
        <v>13549</v>
      </c>
    </row>
    <row r="32" spans="1:11" ht="35.25" customHeight="1">
      <c r="F32" s="12">
        <f t="shared" si="0"/>
        <v>0</v>
      </c>
      <c r="H32" s="12">
        <f t="shared" si="1"/>
        <v>0</v>
      </c>
      <c r="K32" s="14">
        <f t="shared" si="2"/>
        <v>13549</v>
      </c>
    </row>
    <row r="33" spans="6:11" ht="35.25" customHeight="1">
      <c r="F33" s="12">
        <f t="shared" si="0"/>
        <v>0</v>
      </c>
      <c r="H33" s="12">
        <f t="shared" si="1"/>
        <v>0</v>
      </c>
      <c r="K33" s="14">
        <f t="shared" si="2"/>
        <v>13549</v>
      </c>
    </row>
    <row r="34" spans="6:11" ht="35.25" customHeight="1">
      <c r="F34" s="12">
        <f t="shared" si="0"/>
        <v>0</v>
      </c>
      <c r="H34" s="12">
        <f t="shared" si="1"/>
        <v>0</v>
      </c>
      <c r="K34" s="14">
        <f t="shared" si="2"/>
        <v>13549</v>
      </c>
    </row>
    <row r="35" spans="6:11" ht="35.25" customHeight="1">
      <c r="F35" s="12">
        <f t="shared" si="0"/>
        <v>0</v>
      </c>
      <c r="H35" s="12">
        <f t="shared" si="1"/>
        <v>0</v>
      </c>
      <c r="K35" s="14">
        <f t="shared" si="2"/>
        <v>13549</v>
      </c>
    </row>
    <row r="36" spans="6:11" ht="35.25" customHeight="1">
      <c r="F36" s="12">
        <f t="shared" si="0"/>
        <v>0</v>
      </c>
      <c r="H36" s="12">
        <f t="shared" si="1"/>
        <v>0</v>
      </c>
      <c r="K36" s="14">
        <f t="shared" si="2"/>
        <v>13549</v>
      </c>
    </row>
    <row r="37" spans="6:11" ht="35.25" customHeight="1">
      <c r="F37" s="12">
        <f t="shared" si="0"/>
        <v>0</v>
      </c>
      <c r="H37" s="12">
        <f t="shared" si="1"/>
        <v>0</v>
      </c>
      <c r="K37" s="14">
        <f t="shared" si="2"/>
        <v>13549</v>
      </c>
    </row>
    <row r="38" spans="6:11" ht="35.25" customHeight="1">
      <c r="F38" s="12">
        <f t="shared" si="0"/>
        <v>0</v>
      </c>
      <c r="H38" s="12">
        <f t="shared" si="1"/>
        <v>0</v>
      </c>
      <c r="K38" s="14">
        <f t="shared" si="2"/>
        <v>13549</v>
      </c>
    </row>
    <row r="39" spans="6:11" ht="35.25" customHeight="1">
      <c r="F39" s="12">
        <f t="shared" si="0"/>
        <v>0</v>
      </c>
      <c r="H39" s="12">
        <f t="shared" si="1"/>
        <v>0</v>
      </c>
      <c r="K39" s="14">
        <f t="shared" si="2"/>
        <v>13549</v>
      </c>
    </row>
    <row r="40" spans="6:11" ht="35.25" customHeight="1">
      <c r="F40" s="12">
        <f t="shared" si="0"/>
        <v>0</v>
      </c>
      <c r="H40" s="12">
        <f t="shared" si="1"/>
        <v>0</v>
      </c>
      <c r="K40" s="14">
        <f t="shared" si="2"/>
        <v>13549</v>
      </c>
    </row>
    <row r="41" spans="6:11" ht="35.25" customHeight="1">
      <c r="F41" s="12">
        <f t="shared" si="0"/>
        <v>0</v>
      </c>
      <c r="H41" s="12">
        <f t="shared" si="1"/>
        <v>0</v>
      </c>
      <c r="K41" s="14">
        <f t="shared" si="2"/>
        <v>13549</v>
      </c>
    </row>
    <row r="42" spans="6:11" ht="35.25" customHeight="1">
      <c r="F42" s="12">
        <f t="shared" si="0"/>
        <v>0</v>
      </c>
      <c r="H42" s="12">
        <f t="shared" si="1"/>
        <v>0</v>
      </c>
      <c r="K42" s="14">
        <f t="shared" si="2"/>
        <v>13549</v>
      </c>
    </row>
    <row r="43" spans="6:11" ht="35.25" customHeight="1">
      <c r="F43" s="12">
        <f t="shared" si="0"/>
        <v>0</v>
      </c>
      <c r="H43" s="12">
        <f t="shared" si="1"/>
        <v>0</v>
      </c>
      <c r="K43" s="14">
        <f t="shared" si="2"/>
        <v>13549</v>
      </c>
    </row>
    <row r="44" spans="6:11" ht="35.25" customHeight="1">
      <c r="F44" s="12">
        <f t="shared" si="0"/>
        <v>0</v>
      </c>
      <c r="H44" s="12">
        <f t="shared" si="1"/>
        <v>0</v>
      </c>
      <c r="K44" s="14">
        <f t="shared" si="2"/>
        <v>13549</v>
      </c>
    </row>
    <row r="45" spans="6:11" ht="35.25" customHeight="1">
      <c r="F45" s="12">
        <f t="shared" si="0"/>
        <v>0</v>
      </c>
      <c r="H45" s="12">
        <f t="shared" si="1"/>
        <v>0</v>
      </c>
      <c r="K45" s="14">
        <f t="shared" si="2"/>
        <v>13549</v>
      </c>
    </row>
    <row r="46" spans="6:11" ht="35.25" customHeight="1">
      <c r="F46" s="12">
        <f t="shared" si="0"/>
        <v>0</v>
      </c>
      <c r="H46" s="12">
        <f t="shared" si="1"/>
        <v>0</v>
      </c>
      <c r="K46" s="14">
        <f t="shared" si="2"/>
        <v>13549</v>
      </c>
    </row>
    <row r="47" spans="6:11" ht="35.25" customHeight="1">
      <c r="F47" s="12">
        <f t="shared" si="0"/>
        <v>0</v>
      </c>
      <c r="H47" s="12">
        <f t="shared" si="1"/>
        <v>0</v>
      </c>
      <c r="K47" s="14">
        <f t="shared" si="2"/>
        <v>13549</v>
      </c>
    </row>
    <row r="48" spans="6:11" ht="35.25" customHeight="1">
      <c r="F48" s="12">
        <f t="shared" si="0"/>
        <v>0</v>
      </c>
      <c r="H48" s="12">
        <f t="shared" si="1"/>
        <v>0</v>
      </c>
      <c r="K48" s="14">
        <f t="shared" si="2"/>
        <v>13549</v>
      </c>
    </row>
    <row r="49" spans="6:11" ht="35.25" customHeight="1">
      <c r="F49" s="12">
        <f t="shared" si="0"/>
        <v>0</v>
      </c>
      <c r="H49" s="12">
        <f t="shared" si="1"/>
        <v>0</v>
      </c>
      <c r="K49" s="14">
        <f t="shared" si="2"/>
        <v>13549</v>
      </c>
    </row>
    <row r="50" spans="6:11" ht="35.25" customHeight="1">
      <c r="F50" s="12">
        <f t="shared" si="0"/>
        <v>0</v>
      </c>
      <c r="H50" s="12">
        <f t="shared" si="1"/>
        <v>0</v>
      </c>
      <c r="K50" s="14">
        <f t="shared" si="2"/>
        <v>13549</v>
      </c>
    </row>
    <row r="51" spans="6:11" ht="35.25" customHeight="1">
      <c r="F51" s="12">
        <f t="shared" si="0"/>
        <v>0</v>
      </c>
      <c r="H51" s="12">
        <f t="shared" si="1"/>
        <v>0</v>
      </c>
      <c r="K51" s="14">
        <f t="shared" si="2"/>
        <v>13549</v>
      </c>
    </row>
    <row r="52" spans="6:11" ht="35.25" customHeight="1">
      <c r="F52" s="12">
        <f t="shared" si="0"/>
        <v>0</v>
      </c>
      <c r="H52" s="12">
        <f t="shared" si="1"/>
        <v>0</v>
      </c>
      <c r="K52" s="14">
        <f t="shared" si="2"/>
        <v>13549</v>
      </c>
    </row>
    <row r="53" spans="6:11" ht="35.25" customHeight="1">
      <c r="F53" s="12">
        <f t="shared" si="0"/>
        <v>0</v>
      </c>
      <c r="H53" s="12">
        <f t="shared" si="1"/>
        <v>0</v>
      </c>
      <c r="K53" s="14">
        <f t="shared" si="2"/>
        <v>13549</v>
      </c>
    </row>
    <row r="54" spans="6:11" ht="35.25" customHeight="1">
      <c r="F54" s="12">
        <f t="shared" si="0"/>
        <v>0</v>
      </c>
      <c r="H54" s="12">
        <f t="shared" si="1"/>
        <v>0</v>
      </c>
      <c r="K54" s="14">
        <f t="shared" si="2"/>
        <v>13549</v>
      </c>
    </row>
    <row r="55" spans="6:11" ht="35.25" customHeight="1">
      <c r="F55" s="12">
        <f t="shared" si="0"/>
        <v>0</v>
      </c>
      <c r="H55" s="12">
        <f t="shared" si="1"/>
        <v>0</v>
      </c>
      <c r="K55" s="14">
        <f t="shared" si="2"/>
        <v>13549</v>
      </c>
    </row>
    <row r="56" spans="6:11" ht="35.25" customHeight="1">
      <c r="F56" s="12">
        <f t="shared" si="0"/>
        <v>0</v>
      </c>
      <c r="H56" s="12">
        <f t="shared" si="1"/>
        <v>0</v>
      </c>
      <c r="K56" s="14">
        <f t="shared" si="2"/>
        <v>13549</v>
      </c>
    </row>
    <row r="57" spans="6:11" ht="35.25" customHeight="1">
      <c r="F57" s="12">
        <f t="shared" si="0"/>
        <v>0</v>
      </c>
      <c r="H57" s="12">
        <f t="shared" si="1"/>
        <v>0</v>
      </c>
      <c r="K57" s="14">
        <f t="shared" si="2"/>
        <v>13549</v>
      </c>
    </row>
    <row r="58" spans="6:11" ht="35.25" customHeight="1">
      <c r="F58" s="12">
        <f t="shared" si="0"/>
        <v>0</v>
      </c>
      <c r="H58" s="12">
        <f t="shared" si="1"/>
        <v>0</v>
      </c>
      <c r="K58" s="14">
        <f t="shared" si="2"/>
        <v>13549</v>
      </c>
    </row>
    <row r="59" spans="6:11" ht="35.25" customHeight="1">
      <c r="F59" s="12">
        <f t="shared" si="0"/>
        <v>0</v>
      </c>
      <c r="H59" s="12">
        <f t="shared" si="1"/>
        <v>0</v>
      </c>
      <c r="K59" s="14">
        <f t="shared" si="2"/>
        <v>13549</v>
      </c>
    </row>
    <row r="60" spans="6:11" ht="35.25" customHeight="1">
      <c r="F60" s="12">
        <f t="shared" si="0"/>
        <v>0</v>
      </c>
      <c r="H60" s="12">
        <f t="shared" si="1"/>
        <v>0</v>
      </c>
      <c r="K60" s="14">
        <f t="shared" si="2"/>
        <v>13549</v>
      </c>
    </row>
    <row r="61" spans="6:11" ht="35.25" customHeight="1">
      <c r="F61" s="12">
        <f t="shared" si="0"/>
        <v>0</v>
      </c>
      <c r="H61" s="12">
        <f t="shared" si="1"/>
        <v>0</v>
      </c>
      <c r="K61" s="14">
        <f t="shared" si="2"/>
        <v>13549</v>
      </c>
    </row>
    <row r="62" spans="6:11" ht="35.25" customHeight="1">
      <c r="F62" s="12">
        <f t="shared" si="0"/>
        <v>0</v>
      </c>
      <c r="H62" s="12">
        <f t="shared" si="1"/>
        <v>0</v>
      </c>
      <c r="K62" s="14">
        <f t="shared" si="2"/>
        <v>13549</v>
      </c>
    </row>
    <row r="63" spans="6:11" ht="35.25" customHeight="1">
      <c r="F63" s="12">
        <f t="shared" si="0"/>
        <v>0</v>
      </c>
      <c r="H63" s="12">
        <f t="shared" si="1"/>
        <v>0</v>
      </c>
      <c r="K63" s="14">
        <f t="shared" si="2"/>
        <v>13549</v>
      </c>
    </row>
    <row r="64" spans="6:11" ht="35.25" customHeight="1">
      <c r="F64" s="12">
        <f t="shared" si="0"/>
        <v>0</v>
      </c>
      <c r="H64" s="12">
        <f t="shared" si="1"/>
        <v>0</v>
      </c>
      <c r="K64" s="14">
        <f t="shared" si="2"/>
        <v>13549</v>
      </c>
    </row>
    <row r="65" spans="6:11" ht="35.25" customHeight="1">
      <c r="F65" s="12">
        <f t="shared" si="0"/>
        <v>0</v>
      </c>
      <c r="H65" s="12">
        <f t="shared" si="1"/>
        <v>0</v>
      </c>
      <c r="K65" s="14">
        <f t="shared" si="2"/>
        <v>13549</v>
      </c>
    </row>
    <row r="66" spans="6:11" ht="35.25" customHeight="1">
      <c r="F66" s="12">
        <f t="shared" si="0"/>
        <v>0</v>
      </c>
      <c r="H66" s="12">
        <f t="shared" si="1"/>
        <v>0</v>
      </c>
      <c r="K66" s="14">
        <f t="shared" si="2"/>
        <v>13549</v>
      </c>
    </row>
    <row r="67" spans="6:11" ht="35.25" customHeight="1">
      <c r="F67" s="12">
        <f t="shared" si="0"/>
        <v>0</v>
      </c>
      <c r="H67" s="12">
        <f t="shared" si="1"/>
        <v>0</v>
      </c>
      <c r="K67" s="14">
        <f t="shared" si="2"/>
        <v>13549</v>
      </c>
    </row>
    <row r="68" spans="6:11" ht="35.25" customHeight="1">
      <c r="F68" s="12">
        <f t="shared" ref="F68:F131" si="3">D68*E68</f>
        <v>0</v>
      </c>
      <c r="H68" s="12">
        <f t="shared" ref="H68:H131" si="4">F68*G68</f>
        <v>0</v>
      </c>
      <c r="K68" s="14">
        <f t="shared" si="2"/>
        <v>13549</v>
      </c>
    </row>
    <row r="69" spans="6:11" ht="35.25" customHeight="1">
      <c r="F69" s="12">
        <f t="shared" si="3"/>
        <v>0</v>
      </c>
      <c r="H69" s="12">
        <f t="shared" si="4"/>
        <v>0</v>
      </c>
      <c r="K69" s="14">
        <f t="shared" ref="K69:K132" si="5">K68+H69-I69-J69</f>
        <v>13549</v>
      </c>
    </row>
    <row r="70" spans="6:11" ht="35.25" customHeight="1">
      <c r="F70" s="12">
        <f t="shared" si="3"/>
        <v>0</v>
      </c>
      <c r="H70" s="12">
        <f t="shared" si="4"/>
        <v>0</v>
      </c>
      <c r="K70" s="14">
        <f t="shared" si="5"/>
        <v>13549</v>
      </c>
    </row>
    <row r="71" spans="6:11" ht="35.25" customHeight="1">
      <c r="F71" s="12">
        <f t="shared" si="3"/>
        <v>0</v>
      </c>
      <c r="H71" s="12">
        <f t="shared" si="4"/>
        <v>0</v>
      </c>
      <c r="K71" s="14">
        <f t="shared" si="5"/>
        <v>13549</v>
      </c>
    </row>
    <row r="72" spans="6:11" ht="35.25" customHeight="1">
      <c r="F72" s="12">
        <f t="shared" si="3"/>
        <v>0</v>
      </c>
      <c r="H72" s="12">
        <f t="shared" si="4"/>
        <v>0</v>
      </c>
      <c r="K72" s="14">
        <f t="shared" si="5"/>
        <v>13549</v>
      </c>
    </row>
    <row r="73" spans="6:11" ht="35.25" customHeight="1">
      <c r="F73" s="12">
        <f t="shared" si="3"/>
        <v>0</v>
      </c>
      <c r="H73" s="12">
        <f t="shared" si="4"/>
        <v>0</v>
      </c>
      <c r="K73" s="14">
        <f t="shared" si="5"/>
        <v>13549</v>
      </c>
    </row>
    <row r="74" spans="6:11" ht="35.25" customHeight="1">
      <c r="F74" s="12">
        <f t="shared" si="3"/>
        <v>0</v>
      </c>
      <c r="H74" s="12">
        <f t="shared" si="4"/>
        <v>0</v>
      </c>
      <c r="K74" s="14">
        <f t="shared" si="5"/>
        <v>13549</v>
      </c>
    </row>
    <row r="75" spans="6:11" ht="35.25" customHeight="1">
      <c r="F75" s="12">
        <f t="shared" si="3"/>
        <v>0</v>
      </c>
      <c r="H75" s="12">
        <f t="shared" si="4"/>
        <v>0</v>
      </c>
      <c r="K75" s="14">
        <f t="shared" si="5"/>
        <v>13549</v>
      </c>
    </row>
    <row r="76" spans="6:11" ht="35.25" customHeight="1">
      <c r="F76" s="12">
        <f t="shared" si="3"/>
        <v>0</v>
      </c>
      <c r="H76" s="12">
        <f t="shared" si="4"/>
        <v>0</v>
      </c>
      <c r="K76" s="14">
        <f t="shared" si="5"/>
        <v>13549</v>
      </c>
    </row>
    <row r="77" spans="6:11" ht="35.25" customHeight="1">
      <c r="F77" s="12">
        <f t="shared" si="3"/>
        <v>0</v>
      </c>
      <c r="H77" s="12">
        <f t="shared" si="4"/>
        <v>0</v>
      </c>
      <c r="K77" s="14">
        <f t="shared" si="5"/>
        <v>13549</v>
      </c>
    </row>
    <row r="78" spans="6:11" ht="35.25" customHeight="1">
      <c r="F78" s="12">
        <f t="shared" si="3"/>
        <v>0</v>
      </c>
      <c r="H78" s="12">
        <f t="shared" si="4"/>
        <v>0</v>
      </c>
      <c r="K78" s="14">
        <f t="shared" si="5"/>
        <v>13549</v>
      </c>
    </row>
    <row r="79" spans="6:11" ht="35.25" customHeight="1">
      <c r="F79" s="12">
        <f t="shared" si="3"/>
        <v>0</v>
      </c>
      <c r="H79" s="12">
        <f t="shared" si="4"/>
        <v>0</v>
      </c>
      <c r="K79" s="14">
        <f t="shared" si="5"/>
        <v>13549</v>
      </c>
    </row>
    <row r="80" spans="6:11" ht="35.25" customHeight="1">
      <c r="F80" s="12">
        <f t="shared" si="3"/>
        <v>0</v>
      </c>
      <c r="H80" s="12">
        <f t="shared" si="4"/>
        <v>0</v>
      </c>
      <c r="K80" s="14">
        <f t="shared" si="5"/>
        <v>13549</v>
      </c>
    </row>
    <row r="81" spans="6:11" ht="35.25" customHeight="1">
      <c r="F81" s="12">
        <f t="shared" si="3"/>
        <v>0</v>
      </c>
      <c r="H81" s="12">
        <f t="shared" si="4"/>
        <v>0</v>
      </c>
      <c r="K81" s="14">
        <f t="shared" si="5"/>
        <v>13549</v>
      </c>
    </row>
    <row r="82" spans="6:11" ht="35.25" customHeight="1">
      <c r="F82" s="12">
        <f t="shared" si="3"/>
        <v>0</v>
      </c>
      <c r="H82" s="12">
        <f t="shared" si="4"/>
        <v>0</v>
      </c>
      <c r="K82" s="14">
        <f t="shared" si="5"/>
        <v>13549</v>
      </c>
    </row>
    <row r="83" spans="6:11" ht="35.25" customHeight="1">
      <c r="F83" s="12">
        <f t="shared" si="3"/>
        <v>0</v>
      </c>
      <c r="H83" s="12">
        <f t="shared" si="4"/>
        <v>0</v>
      </c>
      <c r="K83" s="14">
        <f t="shared" si="5"/>
        <v>13549</v>
      </c>
    </row>
    <row r="84" spans="6:11" ht="35.25" customHeight="1">
      <c r="F84" s="12">
        <f t="shared" si="3"/>
        <v>0</v>
      </c>
      <c r="H84" s="12">
        <f t="shared" si="4"/>
        <v>0</v>
      </c>
      <c r="K84" s="14">
        <f t="shared" si="5"/>
        <v>13549</v>
      </c>
    </row>
    <row r="85" spans="6:11" ht="35.25" customHeight="1">
      <c r="F85" s="12">
        <f t="shared" si="3"/>
        <v>0</v>
      </c>
      <c r="H85" s="12">
        <f t="shared" si="4"/>
        <v>0</v>
      </c>
      <c r="K85" s="14">
        <f t="shared" si="5"/>
        <v>13549</v>
      </c>
    </row>
    <row r="86" spans="6:11" ht="35.25" customHeight="1">
      <c r="F86" s="12">
        <f t="shared" si="3"/>
        <v>0</v>
      </c>
      <c r="H86" s="12">
        <f t="shared" si="4"/>
        <v>0</v>
      </c>
      <c r="K86" s="14">
        <f t="shared" si="5"/>
        <v>13549</v>
      </c>
    </row>
    <row r="87" spans="6:11" ht="35.25" customHeight="1">
      <c r="F87" s="12">
        <f t="shared" si="3"/>
        <v>0</v>
      </c>
      <c r="H87" s="12">
        <f t="shared" si="4"/>
        <v>0</v>
      </c>
      <c r="K87" s="14">
        <f t="shared" si="5"/>
        <v>13549</v>
      </c>
    </row>
    <row r="88" spans="6:11" ht="35.25" customHeight="1">
      <c r="F88" s="12">
        <f t="shared" si="3"/>
        <v>0</v>
      </c>
      <c r="H88" s="12">
        <f t="shared" si="4"/>
        <v>0</v>
      </c>
      <c r="K88" s="14">
        <f t="shared" si="5"/>
        <v>13549</v>
      </c>
    </row>
    <row r="89" spans="6:11" ht="35.25" customHeight="1">
      <c r="F89" s="12">
        <f t="shared" si="3"/>
        <v>0</v>
      </c>
      <c r="H89" s="12">
        <f t="shared" si="4"/>
        <v>0</v>
      </c>
      <c r="K89" s="14">
        <f t="shared" si="5"/>
        <v>13549</v>
      </c>
    </row>
    <row r="90" spans="6:11" ht="35.25" customHeight="1">
      <c r="F90" s="12">
        <f t="shared" si="3"/>
        <v>0</v>
      </c>
      <c r="H90" s="12">
        <f t="shared" si="4"/>
        <v>0</v>
      </c>
      <c r="K90" s="14">
        <f t="shared" si="5"/>
        <v>13549</v>
      </c>
    </row>
    <row r="91" spans="6:11" ht="35.25" customHeight="1">
      <c r="F91" s="12">
        <f t="shared" si="3"/>
        <v>0</v>
      </c>
      <c r="H91" s="12">
        <f t="shared" si="4"/>
        <v>0</v>
      </c>
      <c r="K91" s="14">
        <f t="shared" si="5"/>
        <v>13549</v>
      </c>
    </row>
    <row r="92" spans="6:11" ht="35.25" customHeight="1">
      <c r="F92" s="12">
        <f t="shared" si="3"/>
        <v>0</v>
      </c>
      <c r="H92" s="12">
        <f t="shared" si="4"/>
        <v>0</v>
      </c>
      <c r="K92" s="14">
        <f t="shared" si="5"/>
        <v>13549</v>
      </c>
    </row>
    <row r="93" spans="6:11" ht="35.25" customHeight="1">
      <c r="F93" s="12">
        <f t="shared" si="3"/>
        <v>0</v>
      </c>
      <c r="H93" s="12">
        <f t="shared" si="4"/>
        <v>0</v>
      </c>
      <c r="K93" s="14">
        <f t="shared" si="5"/>
        <v>13549</v>
      </c>
    </row>
    <row r="94" spans="6:11" ht="35.25" customHeight="1">
      <c r="F94" s="12">
        <f t="shared" si="3"/>
        <v>0</v>
      </c>
      <c r="H94" s="12">
        <f t="shared" si="4"/>
        <v>0</v>
      </c>
      <c r="K94" s="14">
        <f t="shared" si="5"/>
        <v>13549</v>
      </c>
    </row>
    <row r="95" spans="6:11" ht="35.25" customHeight="1">
      <c r="F95" s="12">
        <f t="shared" si="3"/>
        <v>0</v>
      </c>
      <c r="H95" s="12">
        <f t="shared" si="4"/>
        <v>0</v>
      </c>
      <c r="K95" s="14">
        <f t="shared" si="5"/>
        <v>13549</v>
      </c>
    </row>
    <row r="96" spans="6:11" ht="35.25" customHeight="1">
      <c r="F96" s="12">
        <f t="shared" si="3"/>
        <v>0</v>
      </c>
      <c r="H96" s="12">
        <f t="shared" si="4"/>
        <v>0</v>
      </c>
      <c r="K96" s="14">
        <f t="shared" si="5"/>
        <v>13549</v>
      </c>
    </row>
    <row r="97" spans="6:11" ht="35.25" customHeight="1">
      <c r="F97" s="12">
        <f t="shared" si="3"/>
        <v>0</v>
      </c>
      <c r="H97" s="12">
        <f t="shared" si="4"/>
        <v>0</v>
      </c>
      <c r="K97" s="14">
        <f t="shared" si="5"/>
        <v>13549</v>
      </c>
    </row>
    <row r="98" spans="6:11" ht="35.25" customHeight="1">
      <c r="F98" s="12">
        <f t="shared" si="3"/>
        <v>0</v>
      </c>
      <c r="H98" s="12">
        <f t="shared" si="4"/>
        <v>0</v>
      </c>
      <c r="K98" s="14">
        <f t="shared" si="5"/>
        <v>13549</v>
      </c>
    </row>
    <row r="99" spans="6:11" ht="35.25" customHeight="1">
      <c r="F99" s="12">
        <f t="shared" si="3"/>
        <v>0</v>
      </c>
      <c r="H99" s="12">
        <f t="shared" si="4"/>
        <v>0</v>
      </c>
      <c r="K99" s="14">
        <f t="shared" si="5"/>
        <v>13549</v>
      </c>
    </row>
    <row r="100" spans="6:11" ht="35.25" customHeight="1">
      <c r="F100" s="12">
        <f t="shared" si="3"/>
        <v>0</v>
      </c>
      <c r="H100" s="12">
        <f t="shared" si="4"/>
        <v>0</v>
      </c>
      <c r="K100" s="14">
        <f t="shared" si="5"/>
        <v>13549</v>
      </c>
    </row>
    <row r="101" spans="6:11" ht="35.25" customHeight="1">
      <c r="F101" s="12">
        <f t="shared" si="3"/>
        <v>0</v>
      </c>
      <c r="H101" s="12">
        <f t="shared" si="4"/>
        <v>0</v>
      </c>
      <c r="K101" s="14">
        <f t="shared" si="5"/>
        <v>13549</v>
      </c>
    </row>
    <row r="102" spans="6:11" ht="35.25" customHeight="1">
      <c r="F102" s="12">
        <f t="shared" si="3"/>
        <v>0</v>
      </c>
      <c r="H102" s="12">
        <f t="shared" si="4"/>
        <v>0</v>
      </c>
      <c r="K102" s="14">
        <f t="shared" si="5"/>
        <v>13549</v>
      </c>
    </row>
    <row r="103" spans="6:11" ht="35.25" customHeight="1">
      <c r="F103" s="12">
        <f t="shared" si="3"/>
        <v>0</v>
      </c>
      <c r="H103" s="12">
        <f t="shared" si="4"/>
        <v>0</v>
      </c>
      <c r="K103" s="14">
        <f t="shared" si="5"/>
        <v>13549</v>
      </c>
    </row>
    <row r="104" spans="6:11" ht="35.25" customHeight="1">
      <c r="F104" s="12">
        <f t="shared" si="3"/>
        <v>0</v>
      </c>
      <c r="H104" s="12">
        <f t="shared" si="4"/>
        <v>0</v>
      </c>
      <c r="K104" s="14">
        <f t="shared" si="5"/>
        <v>13549</v>
      </c>
    </row>
    <row r="105" spans="6:11" ht="35.25" customHeight="1">
      <c r="F105" s="12">
        <f t="shared" si="3"/>
        <v>0</v>
      </c>
      <c r="H105" s="12">
        <f t="shared" si="4"/>
        <v>0</v>
      </c>
      <c r="K105" s="14">
        <f t="shared" si="5"/>
        <v>13549</v>
      </c>
    </row>
    <row r="106" spans="6:11" ht="35.25" customHeight="1">
      <c r="F106" s="12">
        <f t="shared" si="3"/>
        <v>0</v>
      </c>
      <c r="H106" s="12">
        <f t="shared" si="4"/>
        <v>0</v>
      </c>
      <c r="K106" s="14">
        <f t="shared" si="5"/>
        <v>13549</v>
      </c>
    </row>
    <row r="107" spans="6:11" ht="35.25" customHeight="1">
      <c r="F107" s="12">
        <f t="shared" si="3"/>
        <v>0</v>
      </c>
      <c r="H107" s="12">
        <f t="shared" si="4"/>
        <v>0</v>
      </c>
      <c r="K107" s="14">
        <f t="shared" si="5"/>
        <v>13549</v>
      </c>
    </row>
    <row r="108" spans="6:11" ht="35.25" customHeight="1">
      <c r="F108" s="12">
        <f t="shared" si="3"/>
        <v>0</v>
      </c>
      <c r="H108" s="12">
        <f t="shared" si="4"/>
        <v>0</v>
      </c>
      <c r="K108" s="14">
        <f t="shared" si="5"/>
        <v>13549</v>
      </c>
    </row>
    <row r="109" spans="6:11" ht="35.25" customHeight="1">
      <c r="F109" s="12">
        <f t="shared" si="3"/>
        <v>0</v>
      </c>
      <c r="H109" s="12">
        <f t="shared" si="4"/>
        <v>0</v>
      </c>
      <c r="K109" s="14">
        <f t="shared" si="5"/>
        <v>13549</v>
      </c>
    </row>
    <row r="110" spans="6:11" ht="35.25" customHeight="1">
      <c r="F110" s="12">
        <f t="shared" si="3"/>
        <v>0</v>
      </c>
      <c r="H110" s="12">
        <f t="shared" si="4"/>
        <v>0</v>
      </c>
      <c r="K110" s="14">
        <f t="shared" si="5"/>
        <v>13549</v>
      </c>
    </row>
    <row r="111" spans="6:11" ht="35.25" customHeight="1">
      <c r="F111" s="12">
        <f t="shared" si="3"/>
        <v>0</v>
      </c>
      <c r="H111" s="12">
        <f t="shared" si="4"/>
        <v>0</v>
      </c>
      <c r="K111" s="14">
        <f t="shared" si="5"/>
        <v>13549</v>
      </c>
    </row>
    <row r="112" spans="6:11" ht="35.25" customHeight="1">
      <c r="F112" s="12">
        <f t="shared" si="3"/>
        <v>0</v>
      </c>
      <c r="H112" s="12">
        <f t="shared" si="4"/>
        <v>0</v>
      </c>
      <c r="K112" s="14">
        <f t="shared" si="5"/>
        <v>13549</v>
      </c>
    </row>
    <row r="113" spans="6:11" ht="35.25" customHeight="1">
      <c r="F113" s="12">
        <f t="shared" si="3"/>
        <v>0</v>
      </c>
      <c r="H113" s="12">
        <f t="shared" si="4"/>
        <v>0</v>
      </c>
      <c r="K113" s="14">
        <f t="shared" si="5"/>
        <v>13549</v>
      </c>
    </row>
    <row r="114" spans="6:11" ht="35.25" customHeight="1">
      <c r="F114" s="12">
        <f t="shared" si="3"/>
        <v>0</v>
      </c>
      <c r="H114" s="12">
        <f t="shared" si="4"/>
        <v>0</v>
      </c>
      <c r="K114" s="14">
        <f t="shared" si="5"/>
        <v>13549</v>
      </c>
    </row>
    <row r="115" spans="6:11" ht="35.25" customHeight="1">
      <c r="F115" s="12">
        <f t="shared" si="3"/>
        <v>0</v>
      </c>
      <c r="H115" s="12">
        <f t="shared" si="4"/>
        <v>0</v>
      </c>
      <c r="K115" s="14">
        <f t="shared" si="5"/>
        <v>13549</v>
      </c>
    </row>
    <row r="116" spans="6:11" ht="35.25" customHeight="1">
      <c r="F116" s="12">
        <f t="shared" si="3"/>
        <v>0</v>
      </c>
      <c r="H116" s="12">
        <f t="shared" si="4"/>
        <v>0</v>
      </c>
      <c r="K116" s="14">
        <f t="shared" si="5"/>
        <v>13549</v>
      </c>
    </row>
    <row r="117" spans="6:11" ht="35.25" customHeight="1">
      <c r="F117" s="12">
        <f t="shared" si="3"/>
        <v>0</v>
      </c>
      <c r="H117" s="12">
        <f t="shared" si="4"/>
        <v>0</v>
      </c>
      <c r="K117" s="14">
        <f t="shared" si="5"/>
        <v>13549</v>
      </c>
    </row>
    <row r="118" spans="6:11" ht="35.25" customHeight="1">
      <c r="F118" s="12">
        <f t="shared" si="3"/>
        <v>0</v>
      </c>
      <c r="H118" s="12">
        <f t="shared" si="4"/>
        <v>0</v>
      </c>
      <c r="K118" s="14">
        <f t="shared" si="5"/>
        <v>13549</v>
      </c>
    </row>
    <row r="119" spans="6:11" ht="35.25" customHeight="1">
      <c r="F119" s="12">
        <f t="shared" si="3"/>
        <v>0</v>
      </c>
      <c r="H119" s="12">
        <f t="shared" si="4"/>
        <v>0</v>
      </c>
      <c r="K119" s="14">
        <f t="shared" si="5"/>
        <v>13549</v>
      </c>
    </row>
    <row r="120" spans="6:11" ht="35.25" customHeight="1">
      <c r="F120" s="12">
        <f t="shared" si="3"/>
        <v>0</v>
      </c>
      <c r="H120" s="12">
        <f t="shared" si="4"/>
        <v>0</v>
      </c>
      <c r="K120" s="14">
        <f t="shared" si="5"/>
        <v>13549</v>
      </c>
    </row>
    <row r="121" spans="6:11" ht="35.25" customHeight="1">
      <c r="F121" s="12">
        <f t="shared" si="3"/>
        <v>0</v>
      </c>
      <c r="H121" s="12">
        <f t="shared" si="4"/>
        <v>0</v>
      </c>
      <c r="K121" s="14">
        <f t="shared" si="5"/>
        <v>13549</v>
      </c>
    </row>
    <row r="122" spans="6:11" ht="35.25" customHeight="1">
      <c r="F122" s="12">
        <f t="shared" si="3"/>
        <v>0</v>
      </c>
      <c r="H122" s="12">
        <f t="shared" si="4"/>
        <v>0</v>
      </c>
      <c r="K122" s="14">
        <f t="shared" si="5"/>
        <v>13549</v>
      </c>
    </row>
    <row r="123" spans="6:11" ht="35.25" customHeight="1">
      <c r="F123" s="12">
        <f t="shared" si="3"/>
        <v>0</v>
      </c>
      <c r="H123" s="12">
        <f t="shared" si="4"/>
        <v>0</v>
      </c>
      <c r="K123" s="14">
        <f t="shared" si="5"/>
        <v>13549</v>
      </c>
    </row>
    <row r="124" spans="6:11" ht="35.25" customHeight="1">
      <c r="F124" s="12">
        <f t="shared" si="3"/>
        <v>0</v>
      </c>
      <c r="H124" s="12">
        <f t="shared" si="4"/>
        <v>0</v>
      </c>
      <c r="K124" s="14">
        <f t="shared" si="5"/>
        <v>13549</v>
      </c>
    </row>
    <row r="125" spans="6:11" ht="35.25" customHeight="1">
      <c r="F125" s="12">
        <f t="shared" si="3"/>
        <v>0</v>
      </c>
      <c r="H125" s="12">
        <f t="shared" si="4"/>
        <v>0</v>
      </c>
      <c r="K125" s="14">
        <f t="shared" si="5"/>
        <v>13549</v>
      </c>
    </row>
    <row r="126" spans="6:11" ht="35.25" customHeight="1">
      <c r="F126" s="12">
        <f t="shared" si="3"/>
        <v>0</v>
      </c>
      <c r="H126" s="12">
        <f t="shared" si="4"/>
        <v>0</v>
      </c>
      <c r="K126" s="14">
        <f t="shared" si="5"/>
        <v>13549</v>
      </c>
    </row>
    <row r="127" spans="6:11" ht="35.25" customHeight="1">
      <c r="F127" s="12">
        <f t="shared" si="3"/>
        <v>0</v>
      </c>
      <c r="H127" s="12">
        <f t="shared" si="4"/>
        <v>0</v>
      </c>
      <c r="K127" s="14">
        <f t="shared" si="5"/>
        <v>13549</v>
      </c>
    </row>
    <row r="128" spans="6:11" ht="35.25" customHeight="1">
      <c r="F128" s="12">
        <f t="shared" si="3"/>
        <v>0</v>
      </c>
      <c r="H128" s="12">
        <f t="shared" si="4"/>
        <v>0</v>
      </c>
      <c r="K128" s="14">
        <f t="shared" si="5"/>
        <v>13549</v>
      </c>
    </row>
    <row r="129" spans="6:11" ht="35.25" customHeight="1">
      <c r="F129" s="12">
        <f t="shared" si="3"/>
        <v>0</v>
      </c>
      <c r="H129" s="12">
        <f t="shared" si="4"/>
        <v>0</v>
      </c>
      <c r="K129" s="14">
        <f t="shared" si="5"/>
        <v>13549</v>
      </c>
    </row>
    <row r="130" spans="6:11" ht="35.25" customHeight="1">
      <c r="F130" s="12">
        <f t="shared" si="3"/>
        <v>0</v>
      </c>
      <c r="H130" s="12">
        <f t="shared" si="4"/>
        <v>0</v>
      </c>
      <c r="K130" s="14">
        <f t="shared" si="5"/>
        <v>13549</v>
      </c>
    </row>
    <row r="131" spans="6:11" ht="35.25" customHeight="1">
      <c r="F131" s="12">
        <f t="shared" si="3"/>
        <v>0</v>
      </c>
      <c r="H131" s="12">
        <f t="shared" si="4"/>
        <v>0</v>
      </c>
      <c r="K131" s="14">
        <f t="shared" si="5"/>
        <v>13549</v>
      </c>
    </row>
    <row r="132" spans="6:11" ht="35.25" customHeight="1">
      <c r="F132" s="12">
        <f t="shared" ref="F132:F161" si="6">D132*E132</f>
        <v>0</v>
      </c>
      <c r="H132" s="12">
        <f t="shared" ref="H132:H189" si="7">F132*G132</f>
        <v>0</v>
      </c>
      <c r="K132" s="14">
        <f t="shared" si="5"/>
        <v>13549</v>
      </c>
    </row>
    <row r="133" spans="6:11" ht="35.25" customHeight="1">
      <c r="F133" s="12">
        <f t="shared" si="6"/>
        <v>0</v>
      </c>
      <c r="H133" s="12">
        <f t="shared" si="7"/>
        <v>0</v>
      </c>
      <c r="K133" s="14">
        <f t="shared" ref="K133:K188" si="8">K132+H133-I133-J133</f>
        <v>13549</v>
      </c>
    </row>
    <row r="134" spans="6:11" ht="35.25" customHeight="1">
      <c r="F134" s="12">
        <f t="shared" si="6"/>
        <v>0</v>
      </c>
      <c r="H134" s="12">
        <f t="shared" si="7"/>
        <v>0</v>
      </c>
      <c r="K134" s="14">
        <f t="shared" si="8"/>
        <v>13549</v>
      </c>
    </row>
    <row r="135" spans="6:11" ht="35.25" customHeight="1">
      <c r="F135" s="12">
        <f t="shared" si="6"/>
        <v>0</v>
      </c>
      <c r="H135" s="12">
        <f t="shared" si="7"/>
        <v>0</v>
      </c>
      <c r="K135" s="14">
        <f t="shared" si="8"/>
        <v>13549</v>
      </c>
    </row>
    <row r="136" spans="6:11" ht="35.25" customHeight="1">
      <c r="F136" s="12">
        <f t="shared" si="6"/>
        <v>0</v>
      </c>
      <c r="H136" s="12">
        <f t="shared" si="7"/>
        <v>0</v>
      </c>
      <c r="K136" s="14">
        <f t="shared" si="8"/>
        <v>13549</v>
      </c>
    </row>
    <row r="137" spans="6:11" ht="35.25" customHeight="1">
      <c r="F137" s="12">
        <f t="shared" si="6"/>
        <v>0</v>
      </c>
      <c r="H137" s="12">
        <f t="shared" si="7"/>
        <v>0</v>
      </c>
      <c r="K137" s="14">
        <f t="shared" si="8"/>
        <v>13549</v>
      </c>
    </row>
    <row r="138" spans="6:11" ht="35.25" customHeight="1">
      <c r="F138" s="12">
        <f t="shared" si="6"/>
        <v>0</v>
      </c>
      <c r="H138" s="12">
        <f t="shared" si="7"/>
        <v>0</v>
      </c>
      <c r="K138" s="14">
        <f t="shared" si="8"/>
        <v>13549</v>
      </c>
    </row>
    <row r="139" spans="6:11" ht="35.25" customHeight="1">
      <c r="F139" s="12">
        <f t="shared" si="6"/>
        <v>0</v>
      </c>
      <c r="H139" s="12">
        <f t="shared" si="7"/>
        <v>0</v>
      </c>
      <c r="K139" s="14">
        <f t="shared" si="8"/>
        <v>13549</v>
      </c>
    </row>
    <row r="140" spans="6:11" ht="35.25" customHeight="1">
      <c r="F140" s="12">
        <f t="shared" si="6"/>
        <v>0</v>
      </c>
      <c r="H140" s="12">
        <f t="shared" si="7"/>
        <v>0</v>
      </c>
      <c r="K140" s="14">
        <f t="shared" si="8"/>
        <v>13549</v>
      </c>
    </row>
    <row r="141" spans="6:11" ht="35.25" customHeight="1">
      <c r="F141" s="12">
        <f t="shared" si="6"/>
        <v>0</v>
      </c>
      <c r="H141" s="12">
        <f t="shared" si="7"/>
        <v>0</v>
      </c>
      <c r="K141" s="14">
        <f t="shared" si="8"/>
        <v>13549</v>
      </c>
    </row>
    <row r="142" spans="6:11" ht="35.25" customHeight="1">
      <c r="F142" s="12">
        <f t="shared" si="6"/>
        <v>0</v>
      </c>
      <c r="H142" s="12">
        <f t="shared" si="7"/>
        <v>0</v>
      </c>
      <c r="K142" s="14">
        <f t="shared" si="8"/>
        <v>13549</v>
      </c>
    </row>
    <row r="143" spans="6:11" ht="35.25" customHeight="1">
      <c r="F143" s="12">
        <f t="shared" si="6"/>
        <v>0</v>
      </c>
      <c r="H143" s="12">
        <f t="shared" si="7"/>
        <v>0</v>
      </c>
      <c r="K143" s="14">
        <f t="shared" si="8"/>
        <v>13549</v>
      </c>
    </row>
    <row r="144" spans="6:11" ht="35.25" customHeight="1">
      <c r="F144" s="12">
        <f t="shared" si="6"/>
        <v>0</v>
      </c>
      <c r="H144" s="12">
        <f t="shared" si="7"/>
        <v>0</v>
      </c>
      <c r="K144" s="14">
        <f t="shared" si="8"/>
        <v>13549</v>
      </c>
    </row>
    <row r="145" spans="6:11" ht="35.25" customHeight="1">
      <c r="F145" s="12">
        <f t="shared" si="6"/>
        <v>0</v>
      </c>
      <c r="H145" s="12">
        <f t="shared" si="7"/>
        <v>0</v>
      </c>
      <c r="K145" s="14">
        <f t="shared" si="8"/>
        <v>13549</v>
      </c>
    </row>
    <row r="146" spans="6:11" ht="35.25" customHeight="1">
      <c r="F146" s="12">
        <f t="shared" si="6"/>
        <v>0</v>
      </c>
      <c r="H146" s="12">
        <f t="shared" si="7"/>
        <v>0</v>
      </c>
      <c r="K146" s="14">
        <f t="shared" si="8"/>
        <v>13549</v>
      </c>
    </row>
    <row r="147" spans="6:11" ht="35.25" customHeight="1">
      <c r="F147" s="12">
        <f t="shared" si="6"/>
        <v>0</v>
      </c>
      <c r="H147" s="12">
        <f t="shared" si="7"/>
        <v>0</v>
      </c>
      <c r="K147" s="14">
        <f t="shared" si="8"/>
        <v>13549</v>
      </c>
    </row>
    <row r="148" spans="6:11" ht="35.25" customHeight="1">
      <c r="F148" s="12">
        <f t="shared" si="6"/>
        <v>0</v>
      </c>
      <c r="H148" s="12">
        <f t="shared" si="7"/>
        <v>0</v>
      </c>
      <c r="K148" s="14">
        <f t="shared" si="8"/>
        <v>13549</v>
      </c>
    </row>
    <row r="149" spans="6:11" ht="35.25" customHeight="1">
      <c r="F149" s="12">
        <f t="shared" si="6"/>
        <v>0</v>
      </c>
      <c r="H149" s="12">
        <f t="shared" si="7"/>
        <v>0</v>
      </c>
      <c r="K149" s="14">
        <f t="shared" si="8"/>
        <v>13549</v>
      </c>
    </row>
    <row r="150" spans="6:11" ht="35.25" customHeight="1">
      <c r="F150" s="12">
        <f t="shared" si="6"/>
        <v>0</v>
      </c>
      <c r="H150" s="12">
        <f t="shared" si="7"/>
        <v>0</v>
      </c>
      <c r="K150" s="14">
        <f t="shared" si="8"/>
        <v>13549</v>
      </c>
    </row>
    <row r="151" spans="6:11" ht="35.25" customHeight="1">
      <c r="F151" s="12">
        <f t="shared" si="6"/>
        <v>0</v>
      </c>
      <c r="H151" s="12">
        <f t="shared" si="7"/>
        <v>0</v>
      </c>
      <c r="K151" s="14">
        <f t="shared" si="8"/>
        <v>13549</v>
      </c>
    </row>
    <row r="152" spans="6:11" ht="35.25" customHeight="1">
      <c r="F152" s="12">
        <f t="shared" si="6"/>
        <v>0</v>
      </c>
      <c r="H152" s="12">
        <f t="shared" si="7"/>
        <v>0</v>
      </c>
      <c r="K152" s="14">
        <f t="shared" si="8"/>
        <v>13549</v>
      </c>
    </row>
    <row r="153" spans="6:11" ht="35.25" customHeight="1">
      <c r="F153" s="12">
        <f t="shared" si="6"/>
        <v>0</v>
      </c>
      <c r="H153" s="12">
        <f t="shared" si="7"/>
        <v>0</v>
      </c>
      <c r="K153" s="14">
        <f t="shared" si="8"/>
        <v>13549</v>
      </c>
    </row>
    <row r="154" spans="6:11" ht="35.25" customHeight="1">
      <c r="F154" s="12">
        <f t="shared" si="6"/>
        <v>0</v>
      </c>
      <c r="H154" s="12">
        <f t="shared" si="7"/>
        <v>0</v>
      </c>
      <c r="K154" s="14">
        <f t="shared" si="8"/>
        <v>13549</v>
      </c>
    </row>
    <row r="155" spans="6:11" ht="35.25" customHeight="1">
      <c r="F155" s="12">
        <f t="shared" si="6"/>
        <v>0</v>
      </c>
      <c r="H155" s="12">
        <f t="shared" si="7"/>
        <v>0</v>
      </c>
      <c r="K155" s="14">
        <f t="shared" si="8"/>
        <v>13549</v>
      </c>
    </row>
    <row r="156" spans="6:11" ht="35.25" customHeight="1">
      <c r="F156" s="12">
        <f t="shared" si="6"/>
        <v>0</v>
      </c>
      <c r="H156" s="12">
        <f t="shared" si="7"/>
        <v>0</v>
      </c>
      <c r="K156" s="14">
        <f t="shared" si="8"/>
        <v>13549</v>
      </c>
    </row>
    <row r="157" spans="6:11" ht="35.25" customHeight="1">
      <c r="F157" s="12">
        <f t="shared" si="6"/>
        <v>0</v>
      </c>
      <c r="H157" s="12">
        <f t="shared" si="7"/>
        <v>0</v>
      </c>
      <c r="K157" s="14">
        <f t="shared" si="8"/>
        <v>13549</v>
      </c>
    </row>
    <row r="158" spans="6:11" ht="35.25" customHeight="1">
      <c r="F158" s="12">
        <f t="shared" si="6"/>
        <v>0</v>
      </c>
      <c r="H158" s="12">
        <f t="shared" si="7"/>
        <v>0</v>
      </c>
      <c r="K158" s="14">
        <f t="shared" si="8"/>
        <v>13549</v>
      </c>
    </row>
    <row r="159" spans="6:11" ht="35.25" customHeight="1">
      <c r="F159" s="12">
        <f t="shared" si="6"/>
        <v>0</v>
      </c>
      <c r="H159" s="12">
        <f t="shared" si="7"/>
        <v>0</v>
      </c>
      <c r="K159" s="14">
        <f t="shared" si="8"/>
        <v>13549</v>
      </c>
    </row>
    <row r="160" spans="6:11" ht="35.25" customHeight="1">
      <c r="F160" s="12">
        <f t="shared" si="6"/>
        <v>0</v>
      </c>
      <c r="H160" s="12">
        <f t="shared" si="7"/>
        <v>0</v>
      </c>
      <c r="K160" s="14">
        <f t="shared" si="8"/>
        <v>13549</v>
      </c>
    </row>
    <row r="161" spans="6:11" ht="35.25" customHeight="1">
      <c r="F161" s="12">
        <f t="shared" si="6"/>
        <v>0</v>
      </c>
      <c r="H161" s="12">
        <f t="shared" si="7"/>
        <v>0</v>
      </c>
      <c r="K161" s="14">
        <f t="shared" si="8"/>
        <v>13549</v>
      </c>
    </row>
    <row r="162" spans="6:11" ht="35.25" customHeight="1">
      <c r="H162" s="12">
        <f t="shared" si="7"/>
        <v>0</v>
      </c>
      <c r="K162" s="14">
        <f t="shared" si="8"/>
        <v>13549</v>
      </c>
    </row>
    <row r="163" spans="6:11" ht="35.25" customHeight="1">
      <c r="H163" s="12">
        <f t="shared" si="7"/>
        <v>0</v>
      </c>
      <c r="K163" s="14">
        <f t="shared" si="8"/>
        <v>13549</v>
      </c>
    </row>
    <row r="164" spans="6:11" ht="35.25" customHeight="1">
      <c r="H164" s="12">
        <f t="shared" si="7"/>
        <v>0</v>
      </c>
      <c r="K164" s="14">
        <f t="shared" si="8"/>
        <v>13549</v>
      </c>
    </row>
    <row r="165" spans="6:11" ht="35.25" customHeight="1">
      <c r="H165" s="12">
        <f t="shared" si="7"/>
        <v>0</v>
      </c>
      <c r="K165" s="14">
        <f t="shared" si="8"/>
        <v>13549</v>
      </c>
    </row>
    <row r="166" spans="6:11" ht="35.25" customHeight="1">
      <c r="H166" s="12">
        <f t="shared" si="7"/>
        <v>0</v>
      </c>
      <c r="K166" s="14">
        <f t="shared" si="8"/>
        <v>13549</v>
      </c>
    </row>
    <row r="167" spans="6:11" ht="35.25" customHeight="1">
      <c r="H167" s="12">
        <f t="shared" si="7"/>
        <v>0</v>
      </c>
      <c r="K167" s="14">
        <f t="shared" si="8"/>
        <v>13549</v>
      </c>
    </row>
    <row r="168" spans="6:11" ht="35.25" customHeight="1">
      <c r="H168" s="12">
        <f t="shared" si="7"/>
        <v>0</v>
      </c>
      <c r="K168" s="14">
        <f t="shared" si="8"/>
        <v>13549</v>
      </c>
    </row>
    <row r="169" spans="6:11" ht="35.25" customHeight="1">
      <c r="H169" s="12">
        <f t="shared" si="7"/>
        <v>0</v>
      </c>
      <c r="K169" s="14">
        <f t="shared" si="8"/>
        <v>13549</v>
      </c>
    </row>
    <row r="170" spans="6:11" ht="35.25" customHeight="1">
      <c r="H170" s="12">
        <f t="shared" si="7"/>
        <v>0</v>
      </c>
      <c r="K170" s="14">
        <f t="shared" si="8"/>
        <v>13549</v>
      </c>
    </row>
    <row r="171" spans="6:11" ht="35.25" customHeight="1">
      <c r="H171" s="12">
        <f t="shared" si="7"/>
        <v>0</v>
      </c>
      <c r="K171" s="14">
        <f t="shared" si="8"/>
        <v>13549</v>
      </c>
    </row>
    <row r="172" spans="6:11" ht="35.25" customHeight="1">
      <c r="H172" s="12">
        <f t="shared" si="7"/>
        <v>0</v>
      </c>
      <c r="K172" s="14">
        <f t="shared" si="8"/>
        <v>13549</v>
      </c>
    </row>
    <row r="173" spans="6:11" ht="35.25" customHeight="1">
      <c r="H173" s="12">
        <f t="shared" si="7"/>
        <v>0</v>
      </c>
      <c r="K173" s="14">
        <f t="shared" si="8"/>
        <v>13549</v>
      </c>
    </row>
    <row r="174" spans="6:11" ht="35.25" customHeight="1">
      <c r="H174" s="12">
        <f t="shared" si="7"/>
        <v>0</v>
      </c>
      <c r="K174" s="14">
        <f t="shared" si="8"/>
        <v>13549</v>
      </c>
    </row>
    <row r="175" spans="6:11" ht="35.25" customHeight="1">
      <c r="H175" s="12">
        <f t="shared" si="7"/>
        <v>0</v>
      </c>
      <c r="K175" s="14">
        <f t="shared" si="8"/>
        <v>13549</v>
      </c>
    </row>
    <row r="176" spans="6:11" ht="35.25" customHeight="1">
      <c r="H176" s="12">
        <f t="shared" si="7"/>
        <v>0</v>
      </c>
      <c r="K176" s="14">
        <f t="shared" si="8"/>
        <v>13549</v>
      </c>
    </row>
    <row r="177" spans="8:11" ht="35.25" customHeight="1">
      <c r="H177" s="12">
        <f t="shared" si="7"/>
        <v>0</v>
      </c>
      <c r="K177" s="14">
        <f t="shared" si="8"/>
        <v>13549</v>
      </c>
    </row>
    <row r="178" spans="8:11" ht="35.25" customHeight="1">
      <c r="H178" s="12">
        <f t="shared" si="7"/>
        <v>0</v>
      </c>
      <c r="K178" s="14">
        <f t="shared" si="8"/>
        <v>13549</v>
      </c>
    </row>
    <row r="179" spans="8:11" ht="35.25" customHeight="1">
      <c r="H179" s="12">
        <f t="shared" si="7"/>
        <v>0</v>
      </c>
      <c r="K179" s="14">
        <f t="shared" si="8"/>
        <v>13549</v>
      </c>
    </row>
    <row r="180" spans="8:11" ht="35.25" customHeight="1">
      <c r="H180" s="12">
        <f t="shared" si="7"/>
        <v>0</v>
      </c>
      <c r="K180" s="14">
        <f t="shared" si="8"/>
        <v>13549</v>
      </c>
    </row>
    <row r="181" spans="8:11" ht="35.25" customHeight="1">
      <c r="H181" s="12">
        <f t="shared" si="7"/>
        <v>0</v>
      </c>
      <c r="K181" s="14">
        <f t="shared" si="8"/>
        <v>13549</v>
      </c>
    </row>
    <row r="182" spans="8:11" ht="35.25" customHeight="1">
      <c r="H182" s="12">
        <f t="shared" si="7"/>
        <v>0</v>
      </c>
      <c r="K182" s="14">
        <f t="shared" si="8"/>
        <v>13549</v>
      </c>
    </row>
    <row r="183" spans="8:11" ht="35.25" customHeight="1">
      <c r="H183" s="12">
        <f t="shared" si="7"/>
        <v>0</v>
      </c>
      <c r="K183" s="14">
        <f t="shared" si="8"/>
        <v>13549</v>
      </c>
    </row>
    <row r="184" spans="8:11" ht="35.25" customHeight="1">
      <c r="H184" s="12">
        <f t="shared" si="7"/>
        <v>0</v>
      </c>
      <c r="K184" s="14">
        <f t="shared" si="8"/>
        <v>13549</v>
      </c>
    </row>
    <row r="185" spans="8:11" ht="35.25" customHeight="1">
      <c r="H185" s="12">
        <f t="shared" si="7"/>
        <v>0</v>
      </c>
      <c r="K185" s="14">
        <f t="shared" si="8"/>
        <v>13549</v>
      </c>
    </row>
    <row r="186" spans="8:11" ht="35.25" customHeight="1">
      <c r="H186" s="12">
        <f t="shared" si="7"/>
        <v>0</v>
      </c>
      <c r="K186" s="14">
        <f t="shared" si="8"/>
        <v>13549</v>
      </c>
    </row>
    <row r="187" spans="8:11" ht="35.25" customHeight="1">
      <c r="H187" s="12">
        <f t="shared" si="7"/>
        <v>0</v>
      </c>
      <c r="K187" s="14">
        <f t="shared" si="8"/>
        <v>13549</v>
      </c>
    </row>
    <row r="188" spans="8:11" ht="35.25" customHeight="1">
      <c r="H188" s="12">
        <f t="shared" si="7"/>
        <v>0</v>
      </c>
      <c r="K188" s="14">
        <f t="shared" si="8"/>
        <v>13549</v>
      </c>
    </row>
    <row r="189" spans="8:11" ht="35.25" customHeight="1">
      <c r="H189" s="12">
        <f t="shared" si="7"/>
        <v>0</v>
      </c>
      <c r="K189" s="14">
        <f t="shared" ref="K189" si="9">H189-I189-J189</f>
        <v>0</v>
      </c>
    </row>
    <row r="1048499" spans="8:11" ht="35.25" customHeight="1">
      <c r="H1048499" s="12">
        <f>SUM(H3:H1048498)</f>
        <v>159900</v>
      </c>
      <c r="I1048499" s="12">
        <f>SUM(I3:I1048498)</f>
        <v>146351</v>
      </c>
      <c r="J1048499" s="12">
        <f>SUM(J6:J1048498)</f>
        <v>0</v>
      </c>
      <c r="K1048499" s="14">
        <f>H1048499-I1048499-J1048499</f>
        <v>13549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2025-04-14T04:45:16Z</dcterms:created>
  <dcterms:modified xsi:type="dcterms:W3CDTF">2025-06-28T04:19:10Z</dcterms:modified>
</cp:coreProperties>
</file>